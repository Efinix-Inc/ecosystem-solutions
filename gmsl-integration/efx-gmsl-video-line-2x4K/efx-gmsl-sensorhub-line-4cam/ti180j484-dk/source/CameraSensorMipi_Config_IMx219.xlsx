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finix\Document\information\CameraSensor\"/>
    </mc:Choice>
  </mc:AlternateContent>
  <xr:revisionPtr revIDLastSave="0" documentId="13_ncr:1_{F7A8E9E0-0B6F-4477-AB2E-2422AD3ABD62}" xr6:coauthVersionLast="47" xr6:coauthVersionMax="47" xr10:uidLastSave="{00000000-0000-0000-0000-000000000000}"/>
  <bookViews>
    <workbookView xWindow="-3540" yWindow="-21720" windowWidth="38640" windowHeight="21120" activeTab="3" xr2:uid="{8CE0B284-5176-40E1-AF3B-04CF4A82B560}"/>
  </bookViews>
  <sheets>
    <sheet name="Sheet1" sheetId="1" r:id="rId1"/>
    <sheet name="imx219(TI60 OOB)" sheetId="2" r:id="rId2"/>
    <sheet name="imx219(TI80 OOB)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3" l="1"/>
  <c r="R14" i="3"/>
  <c r="R10" i="3"/>
  <c r="R9" i="3"/>
  <c r="R13" i="3" s="1"/>
  <c r="R7" i="3"/>
  <c r="R8" i="3" s="1"/>
  <c r="R14" i="2"/>
  <c r="R21" i="2"/>
  <c r="R9" i="2"/>
  <c r="S18" i="2"/>
  <c r="R10" i="2"/>
  <c r="R7" i="2"/>
  <c r="R8" i="2" s="1"/>
  <c r="R21" i="3" l="1"/>
  <c r="R16" i="3"/>
  <c r="R18" i="3" s="1"/>
  <c r="R13" i="2"/>
  <c r="R16" i="2"/>
  <c r="R18" i="2" s="1"/>
  <c r="R19" i="3" l="1"/>
  <c r="T18" i="3"/>
  <c r="T18" i="2"/>
  <c r="R19" i="2"/>
</calcChain>
</file>

<file path=xl/sharedStrings.xml><?xml version="1.0" encoding="utf-8"?>
<sst xmlns="http://schemas.openxmlformats.org/spreadsheetml/2006/main" count="327" uniqueCount="128">
  <si>
    <t xml:space="preserve">Interface </t>
  </si>
  <si>
    <t>CSI-2</t>
  </si>
  <si>
    <t>ADC bit width</t>
  </si>
  <si>
    <t>Data Mode</t>
  </si>
  <si>
    <t>FPS</t>
  </si>
  <si>
    <t>Lanes</t>
  </si>
  <si>
    <t>Bin</t>
  </si>
  <si>
    <t>Sub</t>
  </si>
  <si>
    <t>Output Size (H, V)</t>
  </si>
  <si>
    <t>pll1_vt_freq</t>
  </si>
  <si>
    <t>EXCK_FREQ</t>
  </si>
  <si>
    <t>VTSYCK_DIV</t>
  </si>
  <si>
    <t>vt_pix_clk_div</t>
  </si>
  <si>
    <t>Pix Rate</t>
  </si>
  <si>
    <t>Actual Freq (VTCK)</t>
  </si>
  <si>
    <t>pll2_op_freq</t>
  </si>
  <si>
    <t>op_sys_clk_div</t>
  </si>
  <si>
    <t>Output Lanes</t>
  </si>
  <si>
    <t>Actual MIPI-Freq (byte)</t>
  </si>
  <si>
    <t>CSI_LANE_MODE</t>
  </si>
  <si>
    <t>DPHY_CTRL</t>
  </si>
  <si>
    <t>EXCK_FREQ_1</t>
  </si>
  <si>
    <t>EXCK_FREQ_0</t>
  </si>
  <si>
    <t>0x01</t>
  </si>
  <si>
    <t xml:space="preserve">Reg Name </t>
  </si>
  <si>
    <t>0x0114</t>
  </si>
  <si>
    <t>0x0128</t>
  </si>
  <si>
    <t>FRM_LENGTH_A_1</t>
  </si>
  <si>
    <t>FRM_LENGTH_A_0</t>
  </si>
  <si>
    <t>LINE_LENGTH_A_1</t>
  </si>
  <si>
    <t>LINE_LENGTH_A_0</t>
  </si>
  <si>
    <t>0x00</t>
  </si>
  <si>
    <t>0x18</t>
  </si>
  <si>
    <t>0x04</t>
  </si>
  <si>
    <t>0x59</t>
  </si>
  <si>
    <t>0x0D</t>
  </si>
  <si>
    <t>0x78</t>
  </si>
  <si>
    <t>CSI_DATA_FORMAT_A_1</t>
  </si>
  <si>
    <t>CSI_DATA_FORMAT_A_0</t>
  </si>
  <si>
    <t>VTPXCK_DIV</t>
  </si>
  <si>
    <t xml:space="preserve"> </t>
  </si>
  <si>
    <t>PREPLLCK_VT_DIV</t>
  </si>
  <si>
    <t>PREPLLCK_OP_DIV</t>
  </si>
  <si>
    <t>PLL_VT_MPY_1</t>
  </si>
  <si>
    <t>PLL_VT_MPY_0</t>
  </si>
  <si>
    <t>OPPXCK_DIV</t>
  </si>
  <si>
    <t xml:space="preserve">    </t>
  </si>
  <si>
    <t>OPSYCK_DIV</t>
  </si>
  <si>
    <t>PLL_OP_MPY_1</t>
  </si>
  <si>
    <t>PLL_OP_MPY_0</t>
  </si>
  <si>
    <t>0x0A</t>
  </si>
  <si>
    <t>0x05</t>
  </si>
  <si>
    <t>0x03</t>
  </si>
  <si>
    <t>0x60</t>
  </si>
  <si>
    <t>0x72</t>
  </si>
  <si>
    <t>0x012A</t>
  </si>
  <si>
    <t>0x012B</t>
  </si>
  <si>
    <t>INCK frequency [MHz]</t>
  </si>
  <si>
    <t xml:space="preserve">line_length_pck (Pixels)  </t>
  </si>
  <si>
    <t>frame_length_lines ( BINNING_MODE = 0,1,2   
Unit: 1Lines )</t>
  </si>
  <si>
    <t>0x160</t>
  </si>
  <si>
    <t>0x161</t>
  </si>
  <si>
    <t>0x162</t>
  </si>
  <si>
    <t>0x163</t>
  </si>
  <si>
    <t>X_ODD_INC_A</t>
  </si>
  <si>
    <t>Y_ODD_INC_A</t>
  </si>
  <si>
    <t>0x170</t>
  </si>
  <si>
    <t>0x171</t>
  </si>
  <si>
    <t>0x18C</t>
  </si>
  <si>
    <t>0x18D</t>
  </si>
  <si>
    <t>0x301</t>
  </si>
  <si>
    <t>0x303</t>
  </si>
  <si>
    <t>0x304</t>
  </si>
  <si>
    <t>0x305</t>
  </si>
  <si>
    <t>0x306</t>
  </si>
  <si>
    <t>0x307</t>
  </si>
  <si>
    <t>0x309</t>
  </si>
  <si>
    <t>0x30B</t>
  </si>
  <si>
    <t>0x30C</t>
  </si>
  <si>
    <t>0x30D</t>
  </si>
  <si>
    <t>COARSE_INTEGRATION_TIME_A_1</t>
  </si>
  <si>
    <t>COARSE_INTEGRATION_TIME_A_0</t>
  </si>
  <si>
    <t>COARSE_INTEGRATION_TIME_B_1</t>
  </si>
  <si>
    <t>COARSE_INTEGRATION_TIME_B_0</t>
  </si>
  <si>
    <t xml:space="preserve">IMG_ORIENTATION_A          </t>
  </si>
  <si>
    <t>0x07</t>
  </si>
  <si>
    <t>0x90</t>
  </si>
  <si>
    <t>0x0172</t>
  </si>
  <si>
    <t>0x15A</t>
  </si>
  <si>
    <t>0x15B</t>
  </si>
  <si>
    <t>0x25A</t>
  </si>
  <si>
    <t>0x25B</t>
  </si>
  <si>
    <t>PLL1</t>
  </si>
  <si>
    <t>Pre-Div1</t>
  </si>
  <si>
    <t>Pre-Div2</t>
  </si>
  <si>
    <t>Div1 -SYSCLK</t>
  </si>
  <si>
    <t>Div1 -PIX_CLK</t>
  </si>
  <si>
    <t>PLL2</t>
  </si>
  <si>
    <t>Div2 -PIX_CLK</t>
  </si>
  <si>
    <t>Div2-SYSCLK</t>
  </si>
  <si>
    <t>inck</t>
  </si>
  <si>
    <t>mipi_clk</t>
  </si>
  <si>
    <t>Mhz</t>
  </si>
  <si>
    <t>PIX_CLK</t>
  </si>
  <si>
    <t>SYSCLK</t>
  </si>
  <si>
    <t>Time_per_line</t>
  </si>
  <si>
    <t>us</t>
  </si>
  <si>
    <t>Frame_length</t>
  </si>
  <si>
    <t>Frame_Rate</t>
  </si>
  <si>
    <t>BINNING_MODE_H_A</t>
  </si>
  <si>
    <t>0x174</t>
  </si>
  <si>
    <t>0x175</t>
  </si>
  <si>
    <t>storage time (TSH)</t>
  </si>
  <si>
    <t>α = fine_integration_time / 2</t>
  </si>
  <si>
    <t>0x06</t>
  </si>
  <si>
    <t>0xe3</t>
  </si>
  <si>
    <t>0x54</t>
  </si>
  <si>
    <t>lanes</t>
  </si>
  <si>
    <t>912Mhz</t>
  </si>
  <si>
    <t>Active windows Pixels Per Line</t>
  </si>
  <si>
    <t>Active windows Lines Per Frame</t>
  </si>
  <si>
    <t xml:space="preserve">Frame Rate </t>
  </si>
  <si>
    <t>Streaming Pixels Per Line (include blanking)</t>
  </si>
  <si>
    <t>Streaming Lines Per Frame (include blanking)</t>
  </si>
  <si>
    <t>TI60 OOB Camera Configuration</t>
  </si>
  <si>
    <t>TI180 OOB Camera Configuration</t>
  </si>
  <si>
    <t>Data Type</t>
  </si>
  <si>
    <t>RAW10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</si>
</sst>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531303</xdr:colOff>
      <xdr:row>0</xdr:row>
      <xdr:rowOff>61128</xdr:rowOff>
    </xdr:from>
    <xdr:to>
      <xdr:col>15</xdr:col>
      <xdr:colOff>429907</xdr:colOff>
      <xdr:row>26</xdr:row>
      <xdr:rowOff>8059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6FF79-4AC9-80D6-851C-6E705D979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6418" y="61128"/>
          <a:ext cx="5390622" cy="4950487"/>
        </a:xfrm>
        <a:prstGeom prst="rect">
          <a:avLst/>
        </a:prstGeom>
      </xdr:spPr>
    </xdr:pic>
    <xdr:clientData/>
  </xdr:twoCellAnchor>
  <xdr:twoCellAnchor editAs="oneCell">
    <xdr:from>
      <xdr:col>6</xdr:col>
      <xdr:colOff>503509</xdr:colOff>
      <xdr:row>26</xdr:row>
      <xdr:rowOff>103069</xdr:rowOff>
    </xdr:from>
    <xdr:to>
      <xdr:col>14</xdr:col>
      <xdr:colOff>591290</xdr:colOff>
      <xdr:row>35</xdr:row>
      <xdr:rowOff>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EC87F-6476-19FD-2577-BB616F2A5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59130" y="5069207"/>
          <a:ext cx="4957574" cy="1731205"/>
        </a:xfrm>
        <a:prstGeom prst="rect">
          <a:avLst/>
        </a:prstGeom>
      </xdr:spPr>
    </xdr:pic>
    <xdr:clientData/>
  </xdr:twoCellAnchor>
  <xdr:twoCellAnchor editAs="oneCell">
    <xdr:from>
      <xdr:col>6</xdr:col>
      <xdr:colOff>189128</xdr:colOff>
      <xdr:row>37</xdr:row>
      <xdr:rowOff>149225</xdr:rowOff>
    </xdr:from>
    <xdr:to>
      <xdr:col>15</xdr:col>
      <xdr:colOff>315215</xdr:colOff>
      <xdr:row>57</xdr:row>
      <xdr:rowOff>29752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820E28-0090-A01A-01CA-DF4131349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52303" y="7035800"/>
          <a:ext cx="5612487" cy="35000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531303</xdr:colOff>
      <xdr:row>0</xdr:row>
      <xdr:rowOff>61128</xdr:rowOff>
    </xdr:from>
    <xdr:to>
      <xdr:col>15</xdr:col>
      <xdr:colOff>426732</xdr:colOff>
      <xdr:row>27</xdr:row>
      <xdr:rowOff>20759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F8DD2-0962-4CB1-9F60-79AB33A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4478" y="64303"/>
          <a:ext cx="5381829" cy="4842781"/>
        </a:xfrm>
        <a:prstGeom prst="rect">
          <a:avLst/>
        </a:prstGeom>
      </xdr:spPr>
    </xdr:pic>
    <xdr:clientData/>
  </xdr:twoCellAnchor>
  <xdr:twoCellAnchor editAs="oneCell">
    <xdr:from>
      <xdr:col>6</xdr:col>
      <xdr:colOff>503509</xdr:colOff>
      <xdr:row>26</xdr:row>
      <xdr:rowOff>103069</xdr:rowOff>
    </xdr:from>
    <xdr:to>
      <xdr:col>14</xdr:col>
      <xdr:colOff>591290</xdr:colOff>
      <xdr:row>36</xdr:row>
      <xdr:rowOff>10182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1B14EA-4C0E-46AC-8816-B9E95DC63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9859" y="5002094"/>
          <a:ext cx="4961406" cy="1713688"/>
        </a:xfrm>
        <a:prstGeom prst="rect">
          <a:avLst/>
        </a:prstGeom>
      </xdr:spPr>
    </xdr:pic>
    <xdr:clientData/>
  </xdr:twoCellAnchor>
  <xdr:twoCellAnchor editAs="oneCell">
    <xdr:from>
      <xdr:col>6</xdr:col>
      <xdr:colOff>48939</xdr:colOff>
      <xdr:row>37</xdr:row>
      <xdr:rowOff>64477</xdr:rowOff>
    </xdr:from>
    <xdr:to>
      <xdr:col>15</xdr:col>
      <xdr:colOff>168676</xdr:colOff>
      <xdr:row>56</xdr:row>
      <xdr:rowOff>131352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1FE204-3503-4DAA-AB5E-81CE0E47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11381" y="7222881"/>
          <a:ext cx="5592949" cy="3547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C433-C4C9-4DC8-ADBF-06D683DB985C}">
  <dimension ref="A1:B18"/>
  <sheetViews>
    <sheetView workbookViewId="0">
      <selection activeCell="E14" sqref="E14"/>
    </sheetView>
  </sheetViews>
  <sheetFormatPr defaultRowHeight="14.5" x14ac:dyDescent="0.35"/>
  <cols>
    <col min="1" max="1" width="16.6328125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A26B-33EE-4ED7-B635-35E25D7A1F35}">
  <dimension ref="A2:T39"/>
  <sheetViews>
    <sheetView zoomScale="115" zoomScaleNormal="115" workbookViewId="0">
      <selection activeCell="R16" sqref="R16"/>
    </sheetView>
  </sheetViews>
  <sheetFormatPr defaultRowHeight="14.5" x14ac:dyDescent="0.35"/>
  <cols>
    <col min="1" max="1" width="38" bestFit="1" customWidth="1"/>
    <col min="2" max="2" width="38" customWidth="1"/>
    <col min="3" max="3" width="14.6328125" customWidth="1"/>
    <col min="4" max="4" width="37.36328125" bestFit="1" customWidth="1"/>
    <col min="17" max="17" width="23.1796875" bestFit="1" customWidth="1"/>
    <col min="18" max="18" width="12.36328125" bestFit="1" customWidth="1"/>
    <col min="19" max="19" width="10.81640625" bestFit="1" customWidth="1"/>
  </cols>
  <sheetData>
    <row r="2" spans="1:19" x14ac:dyDescent="0.35">
      <c r="A2" s="1" t="s">
        <v>24</v>
      </c>
      <c r="B2" s="1"/>
      <c r="C2" s="1"/>
    </row>
    <row r="3" spans="1:19" x14ac:dyDescent="0.35">
      <c r="A3" t="s">
        <v>19</v>
      </c>
      <c r="B3" t="s">
        <v>25</v>
      </c>
      <c r="C3" t="s">
        <v>23</v>
      </c>
    </row>
    <row r="4" spans="1:19" x14ac:dyDescent="0.35">
      <c r="A4" t="s">
        <v>20</v>
      </c>
      <c r="B4" t="s">
        <v>26</v>
      </c>
      <c r="C4" t="s">
        <v>31</v>
      </c>
    </row>
    <row r="5" spans="1:19" x14ac:dyDescent="0.35">
      <c r="A5" t="s">
        <v>21</v>
      </c>
      <c r="B5" t="s">
        <v>55</v>
      </c>
      <c r="C5" t="s">
        <v>32</v>
      </c>
      <c r="D5" t="s">
        <v>57</v>
      </c>
      <c r="E5">
        <v>6144</v>
      </c>
      <c r="F5">
        <v>24</v>
      </c>
    </row>
    <row r="6" spans="1:19" x14ac:dyDescent="0.35">
      <c r="A6" t="s">
        <v>22</v>
      </c>
      <c r="B6" t="s">
        <v>56</v>
      </c>
      <c r="C6" t="s">
        <v>31</v>
      </c>
    </row>
    <row r="7" spans="1:19" ht="29" x14ac:dyDescent="0.35">
      <c r="A7" t="s">
        <v>27</v>
      </c>
      <c r="B7" t="s">
        <v>60</v>
      </c>
      <c r="C7" t="s">
        <v>33</v>
      </c>
      <c r="D7" s="1" t="s">
        <v>59</v>
      </c>
      <c r="E7">
        <v>1113</v>
      </c>
      <c r="Q7" t="s">
        <v>100</v>
      </c>
      <c r="R7">
        <f>F5</f>
        <v>24</v>
      </c>
      <c r="S7" t="s">
        <v>102</v>
      </c>
    </row>
    <row r="8" spans="1:19" x14ac:dyDescent="0.35">
      <c r="A8" t="s">
        <v>28</v>
      </c>
      <c r="B8" t="s">
        <v>61</v>
      </c>
      <c r="C8" t="s">
        <v>34</v>
      </c>
      <c r="Q8" t="s">
        <v>101</v>
      </c>
      <c r="R8">
        <f>R7*E23/E18</f>
        <v>912</v>
      </c>
      <c r="S8" t="s">
        <v>102</v>
      </c>
    </row>
    <row r="9" spans="1:19" x14ac:dyDescent="0.35">
      <c r="A9" t="s">
        <v>29</v>
      </c>
      <c r="B9" t="s">
        <v>62</v>
      </c>
      <c r="C9" t="s">
        <v>35</v>
      </c>
      <c r="D9" s="1" t="s">
        <v>58</v>
      </c>
      <c r="E9">
        <v>3448</v>
      </c>
      <c r="Q9" t="s">
        <v>103</v>
      </c>
      <c r="R9">
        <f>F5*E19/E17/E15</f>
        <v>153.6</v>
      </c>
      <c r="S9" t="s">
        <v>102</v>
      </c>
    </row>
    <row r="10" spans="1:19" x14ac:dyDescent="0.35">
      <c r="A10" t="s">
        <v>30</v>
      </c>
      <c r="B10" t="s">
        <v>63</v>
      </c>
      <c r="C10" t="s">
        <v>36</v>
      </c>
      <c r="Q10" t="s">
        <v>104</v>
      </c>
      <c r="R10">
        <f>F5*E19/E18/E16</f>
        <v>768</v>
      </c>
      <c r="S10" t="s">
        <v>102</v>
      </c>
    </row>
    <row r="11" spans="1:19" x14ac:dyDescent="0.35">
      <c r="A11" t="s">
        <v>64</v>
      </c>
      <c r="B11" t="s">
        <v>66</v>
      </c>
      <c r="C11" t="s">
        <v>23</v>
      </c>
    </row>
    <row r="12" spans="1:19" x14ac:dyDescent="0.35">
      <c r="A12" t="s">
        <v>65</v>
      </c>
      <c r="B12" t="s">
        <v>67</v>
      </c>
      <c r="C12" t="s">
        <v>23</v>
      </c>
    </row>
    <row r="13" spans="1:19" x14ac:dyDescent="0.35">
      <c r="A13" t="s">
        <v>37</v>
      </c>
      <c r="B13" t="s">
        <v>68</v>
      </c>
      <c r="C13" t="s">
        <v>50</v>
      </c>
      <c r="Q13" t="s">
        <v>105</v>
      </c>
      <c r="R13">
        <f>E9/2/R9</f>
        <v>11.223958333333334</v>
      </c>
      <c r="S13" t="s">
        <v>106</v>
      </c>
    </row>
    <row r="14" spans="1:19" x14ac:dyDescent="0.35">
      <c r="A14" t="s">
        <v>38</v>
      </c>
      <c r="B14" t="s">
        <v>69</v>
      </c>
      <c r="C14" t="s">
        <v>50</v>
      </c>
      <c r="Q14" t="s">
        <v>107</v>
      </c>
      <c r="R14">
        <f>E31</f>
        <v>1936</v>
      </c>
    </row>
    <row r="15" spans="1:19" x14ac:dyDescent="0.35">
      <c r="A15" t="s">
        <v>39</v>
      </c>
      <c r="B15" t="s">
        <v>70</v>
      </c>
      <c r="C15" t="s">
        <v>51</v>
      </c>
      <c r="D15" t="s">
        <v>96</v>
      </c>
      <c r="E15">
        <v>5</v>
      </c>
    </row>
    <row r="16" spans="1:19" x14ac:dyDescent="0.35">
      <c r="A16" t="s">
        <v>11</v>
      </c>
      <c r="B16" t="s">
        <v>71</v>
      </c>
      <c r="C16" t="s">
        <v>23</v>
      </c>
      <c r="D16" t="s">
        <v>95</v>
      </c>
      <c r="E16">
        <v>1</v>
      </c>
      <c r="Q16" t="s">
        <v>108</v>
      </c>
      <c r="R16">
        <f>1000*1000/R13/R14</f>
        <v>46.020210542463232</v>
      </c>
      <c r="S16" t="s">
        <v>4</v>
      </c>
    </row>
    <row r="17" spans="1:20" x14ac:dyDescent="0.35">
      <c r="A17" t="s">
        <v>41</v>
      </c>
      <c r="B17" t="s">
        <v>72</v>
      </c>
      <c r="C17" t="s">
        <v>52</v>
      </c>
      <c r="D17" t="s">
        <v>93</v>
      </c>
      <c r="E17">
        <v>3</v>
      </c>
    </row>
    <row r="18" spans="1:20" x14ac:dyDescent="0.35">
      <c r="A18" t="s">
        <v>42</v>
      </c>
      <c r="B18" t="s">
        <v>73</v>
      </c>
      <c r="C18" t="s">
        <v>52</v>
      </c>
      <c r="D18" t="s">
        <v>94</v>
      </c>
      <c r="E18">
        <v>3</v>
      </c>
      <c r="R18">
        <f>1/R16</f>
        <v>2.1729583333333333E-2</v>
      </c>
      <c r="S18">
        <f>1/100/1000/1000</f>
        <v>1E-8</v>
      </c>
      <c r="T18">
        <f>R18/S18</f>
        <v>2172958.3333333335</v>
      </c>
    </row>
    <row r="19" spans="1:20" x14ac:dyDescent="0.35">
      <c r="A19" t="s">
        <v>43</v>
      </c>
      <c r="B19" t="s">
        <v>74</v>
      </c>
      <c r="C19" t="s">
        <v>31</v>
      </c>
      <c r="D19" t="s">
        <v>92</v>
      </c>
      <c r="E19">
        <v>96</v>
      </c>
      <c r="R19">
        <f>R18*1000*1000</f>
        <v>21729.583333333336</v>
      </c>
      <c r="S19" t="s">
        <v>106</v>
      </c>
    </row>
    <row r="20" spans="1:20" x14ac:dyDescent="0.35">
      <c r="A20" t="s">
        <v>44</v>
      </c>
      <c r="B20" t="s">
        <v>75</v>
      </c>
      <c r="C20" t="s">
        <v>53</v>
      </c>
      <c r="Q20" t="s">
        <v>113</v>
      </c>
      <c r="R20">
        <v>250</v>
      </c>
    </row>
    <row r="21" spans="1:20" x14ac:dyDescent="0.35">
      <c r="A21" t="s">
        <v>45</v>
      </c>
      <c r="B21" t="s">
        <v>76</v>
      </c>
      <c r="C21" t="s">
        <v>50</v>
      </c>
      <c r="D21" t="s">
        <v>98</v>
      </c>
      <c r="E21">
        <v>10</v>
      </c>
      <c r="Q21" t="s">
        <v>112</v>
      </c>
      <c r="R21">
        <f>E35*R13+(R20/R9)</f>
        <v>8621.6276041666661</v>
      </c>
      <c r="S21" t="s">
        <v>106</v>
      </c>
    </row>
    <row r="22" spans="1:20" x14ac:dyDescent="0.35">
      <c r="A22" t="s">
        <v>47</v>
      </c>
      <c r="B22" t="s">
        <v>77</v>
      </c>
      <c r="C22" t="s">
        <v>23</v>
      </c>
      <c r="D22" t="s">
        <v>99</v>
      </c>
      <c r="E22">
        <v>1</v>
      </c>
    </row>
    <row r="23" spans="1:20" x14ac:dyDescent="0.35">
      <c r="A23" t="s">
        <v>48</v>
      </c>
      <c r="B23" t="s">
        <v>78</v>
      </c>
      <c r="C23" t="s">
        <v>31</v>
      </c>
      <c r="D23" t="s">
        <v>97</v>
      </c>
      <c r="E23">
        <v>114</v>
      </c>
    </row>
    <row r="24" spans="1:20" x14ac:dyDescent="0.35">
      <c r="A24" t="s">
        <v>49</v>
      </c>
      <c r="B24" t="s">
        <v>79</v>
      </c>
      <c r="C24" t="s">
        <v>54</v>
      </c>
    </row>
    <row r="25" spans="1:20" x14ac:dyDescent="0.35">
      <c r="A25" t="s">
        <v>45</v>
      </c>
      <c r="B25" t="s">
        <v>76</v>
      </c>
      <c r="C25" t="s">
        <v>50</v>
      </c>
      <c r="D25" t="s">
        <v>46</v>
      </c>
    </row>
    <row r="26" spans="1:20" x14ac:dyDescent="0.35">
      <c r="A26" t="s">
        <v>47</v>
      </c>
      <c r="B26" t="s">
        <v>77</v>
      </c>
      <c r="C26" t="s">
        <v>23</v>
      </c>
      <c r="D26" t="s">
        <v>46</v>
      </c>
    </row>
    <row r="27" spans="1:20" x14ac:dyDescent="0.35">
      <c r="A27" t="s">
        <v>48</v>
      </c>
      <c r="B27" t="s">
        <v>78</v>
      </c>
      <c r="C27" t="s">
        <v>31</v>
      </c>
    </row>
    <row r="28" spans="1:20" x14ac:dyDescent="0.35">
      <c r="A28" t="s">
        <v>49</v>
      </c>
      <c r="B28" t="s">
        <v>79</v>
      </c>
      <c r="C28" t="s">
        <v>54</v>
      </c>
    </row>
    <row r="29" spans="1:20" x14ac:dyDescent="0.35">
      <c r="A29" t="s">
        <v>109</v>
      </c>
      <c r="B29" t="s">
        <v>110</v>
      </c>
      <c r="C29">
        <v>0</v>
      </c>
    </row>
    <row r="30" spans="1:20" x14ac:dyDescent="0.35">
      <c r="A30" t="s">
        <v>109</v>
      </c>
      <c r="B30" t="s">
        <v>111</v>
      </c>
      <c r="C30">
        <v>0</v>
      </c>
    </row>
    <row r="31" spans="1:20" ht="29" x14ac:dyDescent="0.35">
      <c r="A31" t="s">
        <v>27</v>
      </c>
      <c r="B31" t="s">
        <v>60</v>
      </c>
      <c r="C31" t="s">
        <v>85</v>
      </c>
      <c r="D31" s="1" t="s">
        <v>59</v>
      </c>
      <c r="E31">
        <v>1936</v>
      </c>
    </row>
    <row r="32" spans="1:20" x14ac:dyDescent="0.35">
      <c r="A32" t="s">
        <v>28</v>
      </c>
      <c r="B32" t="s">
        <v>61</v>
      </c>
      <c r="C32" t="s">
        <v>86</v>
      </c>
    </row>
    <row r="33" spans="1:5" x14ac:dyDescent="0.35">
      <c r="A33" t="s">
        <v>29</v>
      </c>
      <c r="B33" t="s">
        <v>62</v>
      </c>
      <c r="C33" t="s">
        <v>35</v>
      </c>
      <c r="D33" t="s">
        <v>40</v>
      </c>
    </row>
    <row r="34" spans="1:5" x14ac:dyDescent="0.35">
      <c r="A34" t="s">
        <v>30</v>
      </c>
      <c r="B34" t="s">
        <v>63</v>
      </c>
      <c r="C34" t="s">
        <v>36</v>
      </c>
      <c r="D34" t="s">
        <v>40</v>
      </c>
    </row>
    <row r="35" spans="1:5" x14ac:dyDescent="0.35">
      <c r="A35" t="s">
        <v>80</v>
      </c>
      <c r="B35" t="s">
        <v>88</v>
      </c>
      <c r="C35" t="s">
        <v>52</v>
      </c>
      <c r="E35">
        <v>768</v>
      </c>
    </row>
    <row r="36" spans="1:5" x14ac:dyDescent="0.35">
      <c r="A36" t="s">
        <v>81</v>
      </c>
      <c r="B36" t="s">
        <v>89</v>
      </c>
      <c r="C36" t="s">
        <v>31</v>
      </c>
    </row>
    <row r="37" spans="1:5" x14ac:dyDescent="0.35">
      <c r="A37" t="s">
        <v>82</v>
      </c>
      <c r="B37" t="s">
        <v>90</v>
      </c>
      <c r="C37" t="s">
        <v>52</v>
      </c>
    </row>
    <row r="38" spans="1:5" x14ac:dyDescent="0.35">
      <c r="A38" t="s">
        <v>83</v>
      </c>
      <c r="B38" t="s">
        <v>91</v>
      </c>
      <c r="C38" t="s">
        <v>31</v>
      </c>
      <c r="E38">
        <v>768</v>
      </c>
    </row>
    <row r="39" spans="1:5" x14ac:dyDescent="0.35">
      <c r="A39" t="s">
        <v>84</v>
      </c>
      <c r="B39" t="s">
        <v>87</v>
      </c>
      <c r="C39" t="s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1AB0-32CA-443F-AC30-96388014FBA9}">
  <dimension ref="A2:T39"/>
  <sheetViews>
    <sheetView zoomScale="130" zoomScaleNormal="130" workbookViewId="0">
      <selection activeCell="R8" sqref="R8"/>
    </sheetView>
  </sheetViews>
  <sheetFormatPr defaultRowHeight="14.5" x14ac:dyDescent="0.35"/>
  <cols>
    <col min="1" max="1" width="38" bestFit="1" customWidth="1"/>
    <col min="2" max="2" width="38" customWidth="1"/>
    <col min="3" max="3" width="14.6328125" customWidth="1"/>
    <col min="4" max="4" width="37.36328125" bestFit="1" customWidth="1"/>
    <col min="17" max="17" width="23.1796875" bestFit="1" customWidth="1"/>
    <col min="18" max="18" width="12.36328125" bestFit="1" customWidth="1"/>
    <col min="19" max="19" width="10.81640625" bestFit="1" customWidth="1"/>
  </cols>
  <sheetData>
    <row r="2" spans="1:19" x14ac:dyDescent="0.35">
      <c r="A2" s="1" t="s">
        <v>24</v>
      </c>
      <c r="B2" s="1"/>
      <c r="C2" s="1"/>
    </row>
    <row r="3" spans="1:19" x14ac:dyDescent="0.35">
      <c r="A3" t="s">
        <v>19</v>
      </c>
      <c r="B3" t="s">
        <v>25</v>
      </c>
      <c r="C3" t="s">
        <v>23</v>
      </c>
    </row>
    <row r="4" spans="1:19" x14ac:dyDescent="0.35">
      <c r="A4" t="s">
        <v>20</v>
      </c>
      <c r="B4" t="s">
        <v>26</v>
      </c>
      <c r="C4" t="s">
        <v>31</v>
      </c>
    </row>
    <row r="5" spans="1:19" x14ac:dyDescent="0.35">
      <c r="A5" t="s">
        <v>21</v>
      </c>
      <c r="B5" t="s">
        <v>55</v>
      </c>
      <c r="C5" t="s">
        <v>32</v>
      </c>
      <c r="D5" t="s">
        <v>57</v>
      </c>
      <c r="E5">
        <v>6144</v>
      </c>
      <c r="F5">
        <v>24</v>
      </c>
    </row>
    <row r="6" spans="1:19" x14ac:dyDescent="0.35">
      <c r="A6" t="s">
        <v>22</v>
      </c>
      <c r="B6" t="s">
        <v>56</v>
      </c>
      <c r="C6" t="s">
        <v>31</v>
      </c>
    </row>
    <row r="7" spans="1:19" ht="29" x14ac:dyDescent="0.35">
      <c r="A7" t="s">
        <v>27</v>
      </c>
      <c r="B7" t="s">
        <v>60</v>
      </c>
      <c r="C7" t="s">
        <v>33</v>
      </c>
      <c r="D7" s="1" t="s">
        <v>59</v>
      </c>
      <c r="E7">
        <v>1113</v>
      </c>
      <c r="Q7" t="s">
        <v>100</v>
      </c>
      <c r="R7">
        <f>F5</f>
        <v>24</v>
      </c>
      <c r="S7" t="s">
        <v>102</v>
      </c>
    </row>
    <row r="8" spans="1:19" x14ac:dyDescent="0.35">
      <c r="A8" t="s">
        <v>28</v>
      </c>
      <c r="B8" t="s">
        <v>61</v>
      </c>
      <c r="C8" t="s">
        <v>34</v>
      </c>
      <c r="Q8" t="s">
        <v>101</v>
      </c>
      <c r="R8">
        <f>R7*E23/E18</f>
        <v>912</v>
      </c>
      <c r="S8" t="s">
        <v>102</v>
      </c>
    </row>
    <row r="9" spans="1:19" x14ac:dyDescent="0.35">
      <c r="A9" t="s">
        <v>29</v>
      </c>
      <c r="B9" t="s">
        <v>62</v>
      </c>
      <c r="C9" t="s">
        <v>35</v>
      </c>
      <c r="D9" s="1" t="s">
        <v>58</v>
      </c>
      <c r="E9">
        <v>3448</v>
      </c>
      <c r="Q9" t="s">
        <v>103</v>
      </c>
      <c r="R9">
        <f>F5*E19/E17/E15</f>
        <v>153.6</v>
      </c>
      <c r="S9" t="s">
        <v>102</v>
      </c>
    </row>
    <row r="10" spans="1:19" x14ac:dyDescent="0.35">
      <c r="A10" t="s">
        <v>30</v>
      </c>
      <c r="B10" t="s">
        <v>63</v>
      </c>
      <c r="C10" t="s">
        <v>36</v>
      </c>
      <c r="Q10" t="s">
        <v>104</v>
      </c>
      <c r="R10">
        <f>F5*E19/E18/E16</f>
        <v>768</v>
      </c>
      <c r="S10" t="s">
        <v>102</v>
      </c>
    </row>
    <row r="11" spans="1:19" x14ac:dyDescent="0.35">
      <c r="A11" t="s">
        <v>64</v>
      </c>
      <c r="B11" t="s">
        <v>66</v>
      </c>
      <c r="C11" t="s">
        <v>23</v>
      </c>
    </row>
    <row r="12" spans="1:19" x14ac:dyDescent="0.35">
      <c r="A12" t="s">
        <v>65</v>
      </c>
      <c r="B12" t="s">
        <v>67</v>
      </c>
      <c r="C12" t="s">
        <v>23</v>
      </c>
    </row>
    <row r="13" spans="1:19" x14ac:dyDescent="0.35">
      <c r="A13" t="s">
        <v>37</v>
      </c>
      <c r="B13" t="s">
        <v>68</v>
      </c>
      <c r="C13" t="s">
        <v>50</v>
      </c>
      <c r="Q13" t="s">
        <v>105</v>
      </c>
      <c r="R13">
        <f>E9/2/R9</f>
        <v>11.223958333333334</v>
      </c>
      <c r="S13" t="s">
        <v>106</v>
      </c>
    </row>
    <row r="14" spans="1:19" x14ac:dyDescent="0.35">
      <c r="A14" t="s">
        <v>38</v>
      </c>
      <c r="B14" t="s">
        <v>69</v>
      </c>
      <c r="C14" t="s">
        <v>50</v>
      </c>
      <c r="Q14" t="s">
        <v>107</v>
      </c>
      <c r="R14">
        <f>E31</f>
        <v>1763</v>
      </c>
    </row>
    <row r="15" spans="1:19" x14ac:dyDescent="0.35">
      <c r="A15" t="s">
        <v>39</v>
      </c>
      <c r="B15" t="s">
        <v>70</v>
      </c>
      <c r="C15" t="s">
        <v>51</v>
      </c>
      <c r="D15" t="s">
        <v>96</v>
      </c>
      <c r="E15">
        <v>5</v>
      </c>
    </row>
    <row r="16" spans="1:19" x14ac:dyDescent="0.35">
      <c r="A16" t="s">
        <v>11</v>
      </c>
      <c r="B16" t="s">
        <v>71</v>
      </c>
      <c r="C16" t="s">
        <v>23</v>
      </c>
      <c r="D16" t="s">
        <v>95</v>
      </c>
      <c r="E16">
        <v>1</v>
      </c>
      <c r="Q16" t="s">
        <v>108</v>
      </c>
      <c r="R16">
        <f>1000*1000/R13/R14</f>
        <v>50.536090533300516</v>
      </c>
      <c r="S16" t="s">
        <v>4</v>
      </c>
    </row>
    <row r="17" spans="1:20" x14ac:dyDescent="0.35">
      <c r="A17" t="s">
        <v>41</v>
      </c>
      <c r="B17" t="s">
        <v>72</v>
      </c>
      <c r="C17" t="s">
        <v>52</v>
      </c>
      <c r="D17" t="s">
        <v>93</v>
      </c>
      <c r="E17">
        <v>3</v>
      </c>
    </row>
    <row r="18" spans="1:20" x14ac:dyDescent="0.35">
      <c r="A18" t="s">
        <v>42</v>
      </c>
      <c r="B18" t="s">
        <v>73</v>
      </c>
      <c r="C18" t="s">
        <v>52</v>
      </c>
      <c r="D18" t="s">
        <v>94</v>
      </c>
      <c r="E18">
        <v>3</v>
      </c>
      <c r="R18">
        <f>1/R16</f>
        <v>1.9787838541666668E-2</v>
      </c>
      <c r="S18">
        <f>1/100/1000/1000</f>
        <v>1E-8</v>
      </c>
      <c r="T18">
        <f>R18/S18</f>
        <v>1978783.8541666667</v>
      </c>
    </row>
    <row r="19" spans="1:20" x14ac:dyDescent="0.35">
      <c r="A19" t="s">
        <v>43</v>
      </c>
      <c r="B19" t="s">
        <v>74</v>
      </c>
      <c r="C19" t="s">
        <v>31</v>
      </c>
      <c r="D19" t="s">
        <v>92</v>
      </c>
      <c r="E19">
        <v>96</v>
      </c>
      <c r="R19">
        <f>R18*1000*1000</f>
        <v>19787.838541666668</v>
      </c>
      <c r="S19" t="s">
        <v>106</v>
      </c>
    </row>
    <row r="20" spans="1:20" x14ac:dyDescent="0.35">
      <c r="A20" t="s">
        <v>44</v>
      </c>
      <c r="B20" t="s">
        <v>75</v>
      </c>
      <c r="C20" t="s">
        <v>53</v>
      </c>
      <c r="Q20" t="s">
        <v>113</v>
      </c>
      <c r="R20">
        <v>250</v>
      </c>
    </row>
    <row r="21" spans="1:20" x14ac:dyDescent="0.35">
      <c r="A21" t="s">
        <v>45</v>
      </c>
      <c r="B21" t="s">
        <v>76</v>
      </c>
      <c r="C21" t="s">
        <v>50</v>
      </c>
      <c r="D21" t="s">
        <v>98</v>
      </c>
      <c r="E21">
        <v>10</v>
      </c>
      <c r="Q21" t="s">
        <v>112</v>
      </c>
      <c r="R21">
        <f>E35*R13+(R20/R9)</f>
        <v>12437.7734375</v>
      </c>
      <c r="S21" t="s">
        <v>106</v>
      </c>
    </row>
    <row r="22" spans="1:20" x14ac:dyDescent="0.35">
      <c r="A22" t="s">
        <v>47</v>
      </c>
      <c r="B22" t="s">
        <v>77</v>
      </c>
      <c r="C22" t="s">
        <v>23</v>
      </c>
      <c r="D22" t="s">
        <v>99</v>
      </c>
      <c r="E22">
        <v>1</v>
      </c>
    </row>
    <row r="23" spans="1:20" x14ac:dyDescent="0.35">
      <c r="A23" t="s">
        <v>48</v>
      </c>
      <c r="B23" t="s">
        <v>78</v>
      </c>
      <c r="C23" t="s">
        <v>31</v>
      </c>
      <c r="D23" t="s">
        <v>97</v>
      </c>
      <c r="E23">
        <v>114</v>
      </c>
    </row>
    <row r="24" spans="1:20" x14ac:dyDescent="0.35">
      <c r="A24" t="s">
        <v>49</v>
      </c>
      <c r="B24" t="s">
        <v>79</v>
      </c>
      <c r="C24" t="s">
        <v>54</v>
      </c>
    </row>
    <row r="25" spans="1:20" x14ac:dyDescent="0.35">
      <c r="A25" t="s">
        <v>45</v>
      </c>
      <c r="B25" t="s">
        <v>76</v>
      </c>
      <c r="C25" t="s">
        <v>50</v>
      </c>
      <c r="D25" t="s">
        <v>46</v>
      </c>
    </row>
    <row r="26" spans="1:20" x14ac:dyDescent="0.35">
      <c r="A26" t="s">
        <v>47</v>
      </c>
      <c r="B26" t="s">
        <v>77</v>
      </c>
      <c r="C26" t="s">
        <v>23</v>
      </c>
      <c r="D26" t="s">
        <v>46</v>
      </c>
    </row>
    <row r="27" spans="1:20" x14ac:dyDescent="0.35">
      <c r="A27" t="s">
        <v>48</v>
      </c>
      <c r="B27" t="s">
        <v>78</v>
      </c>
      <c r="C27" t="s">
        <v>31</v>
      </c>
    </row>
    <row r="28" spans="1:20" x14ac:dyDescent="0.35">
      <c r="A28" t="s">
        <v>49</v>
      </c>
      <c r="B28" t="s">
        <v>79</v>
      </c>
      <c r="C28" t="s">
        <v>54</v>
      </c>
    </row>
    <row r="29" spans="1:20" x14ac:dyDescent="0.35">
      <c r="A29" t="s">
        <v>109</v>
      </c>
      <c r="B29" t="s">
        <v>110</v>
      </c>
      <c r="C29">
        <v>0</v>
      </c>
    </row>
    <row r="30" spans="1:20" x14ac:dyDescent="0.35">
      <c r="A30" t="s">
        <v>109</v>
      </c>
      <c r="B30" t="s">
        <v>111</v>
      </c>
      <c r="C30">
        <v>0</v>
      </c>
    </row>
    <row r="31" spans="1:20" ht="29" x14ac:dyDescent="0.35">
      <c r="A31" t="s">
        <v>27</v>
      </c>
      <c r="B31" t="s">
        <v>60</v>
      </c>
      <c r="C31" t="s">
        <v>114</v>
      </c>
      <c r="D31" s="1" t="s">
        <v>59</v>
      </c>
      <c r="E31">
        <v>1763</v>
      </c>
    </row>
    <row r="32" spans="1:20" x14ac:dyDescent="0.35">
      <c r="A32" t="s">
        <v>28</v>
      </c>
      <c r="B32" t="s">
        <v>61</v>
      </c>
      <c r="C32" t="s">
        <v>115</v>
      </c>
    </row>
    <row r="33" spans="1:5" x14ac:dyDescent="0.35">
      <c r="A33" t="s">
        <v>29</v>
      </c>
      <c r="B33" t="s">
        <v>62</v>
      </c>
      <c r="C33" t="s">
        <v>35</v>
      </c>
      <c r="D33" t="s">
        <v>40</v>
      </c>
    </row>
    <row r="34" spans="1:5" x14ac:dyDescent="0.35">
      <c r="A34" t="s">
        <v>30</v>
      </c>
      <c r="B34" t="s">
        <v>63</v>
      </c>
      <c r="C34" t="s">
        <v>36</v>
      </c>
      <c r="D34" t="s">
        <v>40</v>
      </c>
    </row>
    <row r="35" spans="1:5" x14ac:dyDescent="0.35">
      <c r="A35" t="s">
        <v>80</v>
      </c>
      <c r="B35" t="s">
        <v>88</v>
      </c>
      <c r="C35" t="s">
        <v>33</v>
      </c>
      <c r="E35">
        <v>1108</v>
      </c>
    </row>
    <row r="36" spans="1:5" x14ac:dyDescent="0.35">
      <c r="A36" t="s">
        <v>81</v>
      </c>
      <c r="B36" t="s">
        <v>89</v>
      </c>
      <c r="C36" t="s">
        <v>116</v>
      </c>
    </row>
    <row r="37" spans="1:5" x14ac:dyDescent="0.35">
      <c r="A37" t="s">
        <v>82</v>
      </c>
      <c r="B37" t="s">
        <v>90</v>
      </c>
      <c r="C37" t="s">
        <v>52</v>
      </c>
    </row>
    <row r="38" spans="1:5" x14ac:dyDescent="0.35">
      <c r="A38" t="s">
        <v>83</v>
      </c>
      <c r="B38" t="s">
        <v>91</v>
      </c>
      <c r="C38" t="s">
        <v>31</v>
      </c>
      <c r="E38">
        <v>768</v>
      </c>
    </row>
    <row r="39" spans="1:5" x14ac:dyDescent="0.35">
      <c r="A39" t="s">
        <v>84</v>
      </c>
      <c r="B39" t="s">
        <v>87</v>
      </c>
      <c r="C39" t="s">
        <v>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9574-43B8-4250-B2A9-519FE580C49D}">
  <dimension ref="A1:G9"/>
  <sheetViews>
    <sheetView tabSelected="1" zoomScale="175" zoomScaleNormal="175" workbookViewId="0">
      <selection activeCell="A11" sqref="A11"/>
    </sheetView>
  </sheetViews>
  <sheetFormatPr defaultRowHeight="14.5" x14ac:dyDescent="0.35"/>
  <cols>
    <col min="1" max="1" width="44.36328125" style="2" customWidth="1"/>
    <col min="2" max="2" width="10.453125" style="2" customWidth="1"/>
    <col min="3" max="3" width="8.7265625" style="2"/>
    <col min="4" max="4" width="38" style="2" bestFit="1" customWidth="1"/>
    <col min="5" max="5" width="7.1796875" style="2" bestFit="1" customWidth="1"/>
    <col min="6" max="6" width="8.7265625" style="2"/>
    <col min="7" max="7" width="11.36328125" style="2" customWidth="1"/>
  </cols>
  <sheetData>
    <row r="1" spans="1:5" x14ac:dyDescent="0.35">
      <c r="A1" s="5" t="s">
        <v>124</v>
      </c>
      <c r="B1" s="5"/>
      <c r="D1" s="5" t="s">
        <v>125</v>
      </c>
      <c r="E1" s="5"/>
    </row>
    <row r="2" spans="1:5" x14ac:dyDescent="0.35">
      <c r="A2" s="3" t="s">
        <v>101</v>
      </c>
      <c r="B2" s="3" t="s">
        <v>118</v>
      </c>
      <c r="D2" s="3" t="s">
        <v>101</v>
      </c>
      <c r="E2" s="3" t="s">
        <v>118</v>
      </c>
    </row>
    <row r="3" spans="1:5" x14ac:dyDescent="0.35">
      <c r="A3" s="3" t="s">
        <v>117</v>
      </c>
      <c r="B3" s="3">
        <v>2</v>
      </c>
      <c r="D3" s="3" t="s">
        <v>117</v>
      </c>
      <c r="E3" s="3">
        <v>2</v>
      </c>
    </row>
    <row r="4" spans="1:5" x14ac:dyDescent="0.35">
      <c r="A4" s="3" t="s">
        <v>126</v>
      </c>
      <c r="B4" s="3" t="s">
        <v>127</v>
      </c>
      <c r="D4" s="3" t="s">
        <v>126</v>
      </c>
      <c r="E4" s="3" t="s">
        <v>127</v>
      </c>
    </row>
    <row r="5" spans="1:5" x14ac:dyDescent="0.35">
      <c r="A5" s="4" t="s">
        <v>122</v>
      </c>
      <c r="B5" s="3">
        <v>3448</v>
      </c>
      <c r="D5" s="4" t="s">
        <v>122</v>
      </c>
      <c r="E5" s="3">
        <v>3448</v>
      </c>
    </row>
    <row r="6" spans="1:5" ht="14.5" customHeight="1" x14ac:dyDescent="0.35">
      <c r="A6" s="4" t="s">
        <v>123</v>
      </c>
      <c r="B6" s="3">
        <v>1936</v>
      </c>
      <c r="D6" s="4" t="s">
        <v>123</v>
      </c>
      <c r="E6" s="3">
        <v>1763</v>
      </c>
    </row>
    <row r="7" spans="1:5" x14ac:dyDescent="0.35">
      <c r="A7" s="3" t="s">
        <v>119</v>
      </c>
      <c r="B7" s="3">
        <v>1080</v>
      </c>
      <c r="D7" s="3" t="s">
        <v>119</v>
      </c>
      <c r="E7" s="3">
        <v>1080</v>
      </c>
    </row>
    <row r="8" spans="1:5" x14ac:dyDescent="0.35">
      <c r="A8" s="3" t="s">
        <v>120</v>
      </c>
      <c r="B8" s="3">
        <v>1920</v>
      </c>
      <c r="D8" s="3" t="s">
        <v>120</v>
      </c>
      <c r="E8" s="3">
        <v>1920</v>
      </c>
    </row>
    <row r="9" spans="1:5" x14ac:dyDescent="0.35">
      <c r="A9" s="3" t="s">
        <v>121</v>
      </c>
      <c r="B9" s="3">
        <v>46</v>
      </c>
      <c r="D9" s="3" t="s">
        <v>121</v>
      </c>
      <c r="E9" s="3">
        <v>50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imx219(TI60 OOB)</vt:lpstr>
      <vt:lpstr>imx219(TI80 OOB)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 Lai</dc:creator>
  <cp:lastModifiedBy>Dragon Lai</cp:lastModifiedBy>
  <dcterms:created xsi:type="dcterms:W3CDTF">2024-12-16T11:03:31Z</dcterms:created>
  <dcterms:modified xsi:type="dcterms:W3CDTF">2025-04-14T06:02:41Z</dcterms:modified>
</cp:coreProperties>
</file>